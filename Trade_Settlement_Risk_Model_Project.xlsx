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hartsheets/sheet1.xml" ContentType="application/vnd.openxmlformats-officedocument.spreadsheetml.chart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https://d.docs.live.net/c8af480e5766bec4/"/>
    </mc:Choice>
  </mc:AlternateContent>
  <xr:revisionPtr revIDLastSave="0" documentId="8_{27B72E53-47C1-42AF-9FBE-0835904822C4}" xr6:coauthVersionLast="47" xr6:coauthVersionMax="47" xr10:uidLastSave="{00000000-0000-0000-0000-000000000000}"/>
  <bookViews>
    <workbookView xWindow="-110" yWindow="-110" windowWidth="19420" windowHeight="11500" activeTab="3" xr2:uid="{2A63596E-60D0-485B-B213-7C3E0C32F92F}"/>
  </bookViews>
  <sheets>
    <sheet name="Assumptions" sheetId="1" r:id="rId1"/>
    <sheet name="Model" sheetId="2" r:id="rId2"/>
    <sheet name="Cost Impact" sheetId="3" r:id="rId3"/>
    <sheet name="Sensitivity" sheetId="4" r:id="rId4"/>
    <sheet name="Failure Chart" sheetId="6" r:id="rId5"/>
    <sheet name="Dashboard" sheetId="5"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 i="4" l="1"/>
  <c r="B8" i="5" s="1"/>
  <c r="H6" i="4"/>
  <c r="G7" i="4"/>
  <c r="G6" i="4"/>
  <c r="G9" i="4"/>
  <c r="G8" i="4"/>
  <c r="E6" i="4"/>
  <c r="D6" i="4"/>
  <c r="C6" i="4"/>
  <c r="I10" i="4"/>
  <c r="I9" i="4"/>
  <c r="I8" i="4"/>
  <c r="I7" i="4"/>
  <c r="I6" i="4"/>
  <c r="I5" i="4"/>
  <c r="I4" i="4"/>
  <c r="B6" i="5"/>
  <c r="B5" i="5"/>
  <c r="B4" i="5"/>
  <c r="B3" i="5"/>
  <c r="C14" i="1"/>
  <c r="H10" i="4"/>
  <c r="H9" i="4"/>
  <c r="H8" i="4"/>
  <c r="H7" i="4"/>
  <c r="H4" i="4"/>
  <c r="G5" i="4"/>
  <c r="G10" i="4"/>
  <c r="G4" i="4"/>
  <c r="F10" i="4"/>
  <c r="F9" i="4"/>
  <c r="F8" i="4"/>
  <c r="F7" i="4"/>
  <c r="F6" i="4"/>
  <c r="F5" i="4"/>
  <c r="F4" i="4"/>
  <c r="E10" i="4"/>
  <c r="E9" i="4"/>
  <c r="E8" i="4"/>
  <c r="E7" i="4"/>
  <c r="E5" i="4"/>
  <c r="E4" i="4"/>
  <c r="D5" i="4"/>
  <c r="D7" i="4"/>
  <c r="D8" i="4"/>
  <c r="D9" i="4"/>
  <c r="D10" i="4"/>
  <c r="D4" i="4"/>
  <c r="B4" i="4"/>
  <c r="C5" i="4"/>
  <c r="C7" i="4"/>
  <c r="C8" i="4"/>
  <c r="C9" i="4"/>
  <c r="C10" i="4"/>
  <c r="C4" i="4"/>
  <c r="B5" i="4"/>
  <c r="B6" i="4"/>
  <c r="B7" i="4"/>
  <c r="B8" i="4"/>
  <c r="B9" i="4"/>
  <c r="B10" i="4"/>
  <c r="A5" i="4"/>
  <c r="A6" i="4"/>
  <c r="A7" i="4"/>
  <c r="A8" i="4"/>
  <c r="A9" i="4"/>
  <c r="A10" i="4"/>
  <c r="A4" i="4"/>
  <c r="B14" i="3"/>
  <c r="B13" i="3"/>
  <c r="B11" i="3"/>
  <c r="B10" i="3"/>
  <c r="B5" i="2"/>
  <c r="C13" i="1"/>
  <c r="B6" i="2"/>
  <c r="B7" i="5" l="1"/>
  <c r="A10" i="5" s="1"/>
  <c r="A14" i="2"/>
  <c r="B14" i="2" s="1"/>
  <c r="B7" i="2"/>
  <c r="A11" i="2" s="1"/>
  <c r="B11" i="2" s="1"/>
  <c r="A13" i="2" l="1"/>
  <c r="A12" i="2"/>
  <c r="A19" i="2"/>
  <c r="A15" i="2"/>
  <c r="C14" i="2"/>
  <c r="B19" i="2"/>
  <c r="C19" i="2"/>
  <c r="A16" i="2"/>
  <c r="A18" i="2"/>
  <c r="A17" i="2"/>
  <c r="C15" i="2" l="1"/>
  <c r="B15" i="2"/>
  <c r="B13" i="2"/>
  <c r="C13" i="2"/>
  <c r="C17" i="2"/>
  <c r="B17" i="2"/>
  <c r="C18" i="2"/>
  <c r="B18" i="2"/>
  <c r="C11" i="2"/>
  <c r="B12" i="2"/>
  <c r="C12" i="2"/>
  <c r="C16" i="2"/>
  <c r="B16" i="2"/>
</calcChain>
</file>

<file path=xl/sharedStrings.xml><?xml version="1.0" encoding="utf-8"?>
<sst xmlns="http://schemas.openxmlformats.org/spreadsheetml/2006/main" count="68" uniqueCount="63">
  <si>
    <t>Lifecycle Stage</t>
  </si>
  <si>
    <t>What Can Go Wrong Here</t>
  </si>
  <si>
    <t>Failure Probability</t>
  </si>
  <si>
    <t>Failure Probaility</t>
  </si>
  <si>
    <t>Sources</t>
  </si>
  <si>
    <t>Trade Capture / Execution</t>
  </si>
  <si>
    <t>Trade Confirmation</t>
  </si>
  <si>
    <t>Trade Validation</t>
  </si>
  <si>
    <t>Clearing (CCP Novation)</t>
  </si>
  <si>
    <t>Settlement Instruction (SSI) Matching</t>
  </si>
  <si>
    <t>Settlement (Delivery vs Payment)</t>
  </si>
  <si>
    <t>Post-Settlement Reconciliation</t>
  </si>
  <si>
    <t>data entry error on trade details</t>
  </si>
  <si>
    <t>incomplete or inaccurate trade details, missing static/reference data, counterparty limit breach</t>
  </si>
  <si>
    <t>buyer/seller trade details don't match</t>
  </si>
  <si>
    <t>trade fails to clear through the CCP</t>
  </si>
  <si>
    <t>settlement instructions mismatch between parties</t>
  </si>
  <si>
    <t>insufficient securities or cash on settlement date</t>
  </si>
  <si>
    <t>break found between internal books and custodian records</t>
  </si>
  <si>
    <t>Weighted from ERCC cause breakdown 27% of fails attributed to instruction matching errors and applied to ESMA's 6% EU equity fail rate (Dec 2022).</t>
  </si>
  <si>
    <t>No public per-stage data available thin residual allocation of the unexplained ~3% of fails, not independently sourced.</t>
  </si>
  <si>
    <t>Weighted from ERCC cause breakdown 70% of fails attributed to sellers unable to deliver securities applied to ESMA's 6% EU equity fail rate (Dec 2022).</t>
  </si>
  <si>
    <t>Overall probability of clean settlement</t>
  </si>
  <si>
    <t>Overall probability of failure (per trade)</t>
  </si>
  <si>
    <t>Methodology note: Confirmation/Matching and Settlement (DvP) probabilities are derived from ERCC's published cause breakdown (matching errors 27%, delivery failures 70%) applied to ESMA's 6% EU equity settlement fail rate (Dec 2022). Remaining stages use a thin equal-split residual due to lack of public per-stage data.</t>
  </si>
  <si>
    <t>Batch-Level Failure Model</t>
  </si>
  <si>
    <t>Batch Size- No. Of Trades</t>
  </si>
  <si>
    <t>Failed Trades</t>
  </si>
  <si>
    <t>Standard Dev. Of Failures</t>
  </si>
  <si>
    <t>Cumulative P(&lt;=k)</t>
  </si>
  <si>
    <t>Failed Trades(k)</t>
  </si>
  <si>
    <t>Probabilty of Failed Trades P(exactly k)</t>
  </si>
  <si>
    <t xml:space="preserve">Probability of exactly k failed trades in the batch </t>
  </si>
  <si>
    <t>Cost Impact sheet</t>
  </si>
  <si>
    <t>Fail Fee%</t>
  </si>
  <si>
    <t>Fee cost per failed trade (floor/cap applied)</t>
  </si>
  <si>
    <t>Total cost per single failed trade</t>
  </si>
  <si>
    <r>
      <t>Average Trade Value(</t>
    </r>
    <r>
      <rPr>
        <sz val="11"/>
        <color theme="4" tint="-0.249977111117893"/>
        <rFont val="Calibri"/>
        <family val="2"/>
      </rPr>
      <t>₹)</t>
    </r>
  </si>
  <si>
    <r>
      <t>Fee Floor(</t>
    </r>
    <r>
      <rPr>
        <sz val="11"/>
        <color theme="4" tint="-0.249977111117893"/>
        <rFont val="Calibri"/>
        <family val="2"/>
      </rPr>
      <t>₹</t>
    </r>
    <r>
      <rPr>
        <sz val="11"/>
        <color theme="4" tint="-0.249977111117893"/>
        <rFont val="Calibri"/>
        <family val="2"/>
        <scheme val="minor"/>
      </rPr>
      <t>)</t>
    </r>
  </si>
  <si>
    <r>
      <t>Fee Cap(</t>
    </r>
    <r>
      <rPr>
        <sz val="11"/>
        <color theme="4" tint="-0.249977111117893"/>
        <rFont val="Calibri"/>
        <family val="2"/>
      </rPr>
      <t>₹</t>
    </r>
    <r>
      <rPr>
        <sz val="11"/>
        <color theme="4" tint="-0.249977111117893"/>
        <rFont val="Calibri"/>
        <family val="2"/>
        <scheme val="minor"/>
      </rPr>
      <t>)</t>
    </r>
  </si>
  <si>
    <r>
      <t>Funding Cost Per Fail(</t>
    </r>
    <r>
      <rPr>
        <sz val="11"/>
        <color theme="4" tint="-0.249977111117893"/>
        <rFont val="Calibri"/>
        <family val="2"/>
      </rPr>
      <t>₹</t>
    </r>
    <r>
      <rPr>
        <sz val="11"/>
        <color theme="4" tint="-0.249977111117893"/>
        <rFont val="Calibri"/>
        <family val="2"/>
        <scheme val="minor"/>
      </rPr>
      <t>)</t>
    </r>
  </si>
  <si>
    <r>
      <t>Operation Cost Per Fail(</t>
    </r>
    <r>
      <rPr>
        <sz val="11"/>
        <color theme="4" tint="-0.249977111117893"/>
        <rFont val="Calibri"/>
        <family val="2"/>
      </rPr>
      <t>₹)</t>
    </r>
  </si>
  <si>
    <t>Expected Number Of Failed Trades</t>
  </si>
  <si>
    <t>Expected Cost Per Batch</t>
  </si>
  <si>
    <t>Cost figures on this sheet are self estimated, illustrative assumptions not real bank data, since per trade cost figures are internal and not publicly disclosed. The goal is to demonstrate the methodology for converting failure probability into expected cost, not to produce an audited real world estimate.</t>
  </si>
  <si>
    <r>
      <rPr>
        <b/>
        <sz val="16"/>
        <color theme="2"/>
        <rFont val="Arial"/>
        <family val="2"/>
      </rPr>
      <t xml:space="preserve"> Trade Settlement Failure Risk Model</t>
    </r>
    <r>
      <rPr>
        <sz val="16"/>
        <color theme="2"/>
        <rFont val="Arial"/>
        <family val="2"/>
      </rPr>
      <t xml:space="preserve"> </t>
    </r>
  </si>
  <si>
    <t>Sensitivity Analysis</t>
  </si>
  <si>
    <t>Life Cycle Stage</t>
  </si>
  <si>
    <t>Base Probability</t>
  </si>
  <si>
    <t>LOW(~50)</t>
  </si>
  <si>
    <t>HIGH(~50)</t>
  </si>
  <si>
    <t>Overall Fail LOW</t>
  </si>
  <si>
    <t>Overall Fail HIGH</t>
  </si>
  <si>
    <t>Swing(High -Low)</t>
  </si>
  <si>
    <t>Cost Swing</t>
  </si>
  <si>
    <t>Settlement (Delivery vs Payment) is the highest leverage stage halving its failure rate alone would save roughly ₹28.8 lakh in expected daily batch cost, the largest single stage improvement in the model.</t>
  </si>
  <si>
    <t>DASHBOARD</t>
  </si>
  <si>
    <t>Overall failure probability</t>
  </si>
  <si>
    <t>Batch size</t>
  </si>
  <si>
    <t>Expected failed trades</t>
  </si>
  <si>
    <t>Expected cost per batch</t>
  </si>
  <si>
    <t>Highest-leverage stage</t>
  </si>
  <si>
    <t>Savings From Halving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</si>
</sst>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
    <numFmt numFmtId="165" formatCode="[$₹-4009]\ #,##0.00"/>
    <numFmt numFmtId="166" formatCode="[$₹-4009]\ #,##0"/>
  </numFmts>
  <fonts count="17" x14ac:knownFonts="1">
    <font>
      <sz val="11"/>
      <color theme="1"/>
      <name val="Calibri"/>
      <family val="2"/>
      <scheme val="minor"/>
    </font>
    <font>
      <b/>
      <sz val="12"/>
      <color theme="1"/>
      <name val="Calibri"/>
      <family val="2"/>
      <scheme val="minor"/>
    </font>
    <font>
      <sz val="11"/>
      <color theme="1"/>
      <name val="Arial"/>
      <family val="2"/>
    </font>
    <font>
      <b/>
      <sz val="12"/>
      <color theme="1"/>
      <name val="Arial"/>
      <family val="2"/>
    </font>
    <font>
      <b/>
      <sz val="11"/>
      <color theme="1"/>
      <name val="Arial"/>
      <family val="2"/>
    </font>
    <font>
      <sz val="11"/>
      <color theme="4"/>
      <name val="Arial"/>
      <family val="2"/>
    </font>
    <font>
      <sz val="10"/>
      <color theme="1"/>
      <name val="Arial"/>
      <family val="2"/>
    </font>
    <font>
      <sz val="9"/>
      <color theme="1"/>
      <name val="Arial"/>
      <family val="2"/>
    </font>
    <font>
      <sz val="11"/>
      <color theme="4"/>
      <name val="Calibri"/>
      <family val="2"/>
      <scheme val="minor"/>
    </font>
    <font>
      <sz val="11"/>
      <color theme="4" tint="-0.249977111117893"/>
      <name val="Calibri"/>
      <family val="2"/>
      <scheme val="minor"/>
    </font>
    <font>
      <sz val="11"/>
      <color theme="4" tint="-0.249977111117893"/>
      <name val="Calibri"/>
      <family val="2"/>
    </font>
    <font>
      <sz val="10"/>
      <color theme="1"/>
      <name val="Calibri Light"/>
      <family val="2"/>
    </font>
    <font>
      <b/>
      <sz val="16"/>
      <color theme="2"/>
      <name val="Bodoni MT"/>
      <family val="1"/>
    </font>
    <font>
      <sz val="16"/>
      <color theme="2"/>
      <name val="Arial"/>
      <family val="2"/>
    </font>
    <font>
      <b/>
      <sz val="16"/>
      <color theme="2"/>
      <name val="Arial"/>
      <family val="2"/>
    </font>
    <font>
      <b/>
      <sz val="16"/>
      <color theme="2"/>
      <name val="Calibri"/>
      <family val="2"/>
      <scheme val="minor"/>
    </font>
    <font>
      <sz val="9"/>
      <color theme="1"/>
      <name val="Calibri"/>
      <family val="2"/>
      <scheme val="minor"/>
    </font>
  </fonts>
  <fills count="13">
    <fill>
      <patternFill patternType="none"/>
    </fill>
    <fill>
      <patternFill patternType="gray125"/>
    </fill>
    <fill>
      <patternFill patternType="solid">
        <fgColor rgb="FFCC6600"/>
        <bgColor indexed="64"/>
      </patternFill>
    </fill>
    <fill>
      <patternFill patternType="solid">
        <fgColor theme="7"/>
        <bgColor indexed="64"/>
      </patternFill>
    </fill>
    <fill>
      <patternFill patternType="solid">
        <fgColor theme="4" tint="0.39997558519241921"/>
        <bgColor indexed="64"/>
      </patternFill>
    </fill>
    <fill>
      <patternFill patternType="solid">
        <fgColor theme="7" tint="0.39997558519241921"/>
        <bgColor indexed="64"/>
      </patternFill>
    </fill>
    <fill>
      <patternFill patternType="solid">
        <fgColor rgb="FF92D050"/>
        <bgColor indexed="64"/>
      </patternFill>
    </fill>
    <fill>
      <patternFill patternType="solid">
        <fgColor theme="4" tint="-0.249977111117893"/>
        <bgColor indexed="64"/>
      </patternFill>
    </fill>
    <fill>
      <patternFill patternType="solid">
        <fgColor theme="5" tint="0.59999389629810485"/>
        <bgColor indexed="64"/>
      </patternFill>
    </fill>
    <fill>
      <patternFill patternType="solid">
        <fgColor theme="9" tint="0.39997558519241921"/>
        <bgColor indexed="64"/>
      </patternFill>
    </fill>
    <fill>
      <patternFill patternType="solid">
        <fgColor theme="5" tint="0.39997558519241921"/>
        <bgColor indexed="64"/>
      </patternFill>
    </fill>
    <fill>
      <patternFill patternType="solid">
        <fgColor theme="9" tint="0.59999389629810485"/>
        <bgColor indexed="64"/>
      </patternFill>
    </fill>
    <fill>
      <patternFill patternType="solid">
        <fgColor theme="5" tint="-0.249977111117893"/>
        <bgColor indexed="64"/>
      </patternFill>
    </fill>
  </fills>
  <borders count="1">
    <border>
      <left/>
      <right/>
      <top/>
      <bottom/>
      <diagonal/>
    </border>
  </borders>
  <cellStyleXfs count="1">
    <xf numFmtId="0" fontId="0" fillId="0" borderId="0"/>
  </cellStyleXfs>
  <cellXfs count="49">
    <xf numFmtId="0" fontId="0" fillId="0" borderId="0" xfId="0"/>
    <xf numFmtId="0" fontId="2" fillId="0" borderId="0" xfId="0" applyFont="1"/>
    <xf numFmtId="0" fontId="3" fillId="0" borderId="0" xfId="0" applyFont="1"/>
    <xf numFmtId="0" fontId="3" fillId="2" borderId="0" xfId="0" applyFont="1" applyFill="1"/>
    <xf numFmtId="10" fontId="2" fillId="0" borderId="0" xfId="0" applyNumberFormat="1" applyFont="1"/>
    <xf numFmtId="10" fontId="5" fillId="3" borderId="0" xfId="0" applyNumberFormat="1" applyFont="1" applyFill="1"/>
    <xf numFmtId="0" fontId="6" fillId="0" borderId="0" xfId="0" applyFont="1"/>
    <xf numFmtId="0" fontId="6" fillId="0" borderId="0" xfId="0" quotePrefix="1" applyFont="1"/>
    <xf numFmtId="0" fontId="3" fillId="0" borderId="0" xfId="0" applyFont="1" applyAlignment="1">
      <alignment wrapText="1"/>
    </xf>
    <xf numFmtId="10" fontId="2" fillId="4" borderId="0" xfId="0" applyNumberFormat="1" applyFont="1" applyFill="1"/>
    <xf numFmtId="10" fontId="0" fillId="0" borderId="0" xfId="0" applyNumberFormat="1"/>
    <xf numFmtId="1" fontId="0" fillId="0" borderId="0" xfId="0" applyNumberFormat="1"/>
    <xf numFmtId="0" fontId="8" fillId="5" borderId="0" xfId="0" applyFont="1" applyFill="1"/>
    <xf numFmtId="0" fontId="0" fillId="6" borderId="0" xfId="0" applyFill="1"/>
    <xf numFmtId="10" fontId="0" fillId="6" borderId="0" xfId="0" applyNumberFormat="1" applyFill="1"/>
    <xf numFmtId="0" fontId="0" fillId="7" borderId="0" xfId="0" applyFill="1"/>
    <xf numFmtId="1" fontId="0" fillId="4" borderId="0" xfId="0" applyNumberFormat="1" applyFill="1"/>
    <xf numFmtId="1" fontId="0" fillId="8" borderId="0" xfId="0" applyNumberFormat="1" applyFill="1"/>
    <xf numFmtId="164" fontId="0" fillId="8" borderId="0" xfId="0" applyNumberFormat="1" applyFill="1"/>
    <xf numFmtId="166" fontId="0" fillId="0" borderId="0" xfId="0" applyNumberFormat="1"/>
    <xf numFmtId="165" fontId="9" fillId="5" borderId="0" xfId="0" applyNumberFormat="1" applyFont="1" applyFill="1"/>
    <xf numFmtId="0" fontId="9" fillId="5" borderId="0" xfId="0" applyFont="1" applyFill="1"/>
    <xf numFmtId="166" fontId="9" fillId="5" borderId="0" xfId="0" applyNumberFormat="1" applyFont="1" applyFill="1"/>
    <xf numFmtId="0" fontId="4" fillId="9" borderId="0" xfId="0" applyFont="1" applyFill="1"/>
    <xf numFmtId="0" fontId="1" fillId="9" borderId="0" xfId="0" applyFont="1" applyFill="1"/>
    <xf numFmtId="0" fontId="1" fillId="10" borderId="0" xfId="0" applyFont="1" applyFill="1"/>
    <xf numFmtId="0" fontId="0" fillId="10" borderId="0" xfId="0" applyFill="1"/>
    <xf numFmtId="166" fontId="0" fillId="9" borderId="0" xfId="0" applyNumberFormat="1" applyFill="1"/>
    <xf numFmtId="166" fontId="0" fillId="10" borderId="0" xfId="0" applyNumberFormat="1" applyFill="1"/>
    <xf numFmtId="10" fontId="0" fillId="4" borderId="0" xfId="0" applyNumberFormat="1" applyFill="1"/>
    <xf numFmtId="166" fontId="0" fillId="4" borderId="0" xfId="0" applyNumberFormat="1" applyFill="1"/>
    <xf numFmtId="10" fontId="0" fillId="11" borderId="0" xfId="0" applyNumberFormat="1" applyFill="1"/>
    <xf numFmtId="0" fontId="0" fillId="11" borderId="0" xfId="0" applyFill="1"/>
    <xf numFmtId="1" fontId="0" fillId="11" borderId="0" xfId="0" applyNumberFormat="1" applyFill="1"/>
    <xf numFmtId="166" fontId="0" fillId="11" borderId="0" xfId="0" applyNumberFormat="1" applyFill="1"/>
    <xf numFmtId="165" fontId="0" fillId="11" borderId="0" xfId="0" applyNumberFormat="1" applyFill="1"/>
    <xf numFmtId="0" fontId="15" fillId="7" borderId="0" xfId="0" applyFont="1" applyFill="1" applyAlignment="1">
      <alignment horizontal="center"/>
    </xf>
    <xf numFmtId="0" fontId="16" fillId="0" borderId="0" xfId="0" applyFont="1" applyAlignment="1">
      <alignment wrapText="1"/>
    </xf>
    <xf numFmtId="0" fontId="0" fillId="0" borderId="0" xfId="0" applyAlignment="1">
      <alignment wrapText="1"/>
    </xf>
    <xf numFmtId="0" fontId="13" fillId="7" borderId="0" xfId="0" applyFont="1" applyFill="1"/>
    <xf numFmtId="10" fontId="3" fillId="0" borderId="0" xfId="0" applyNumberFormat="1" applyFont="1"/>
    <xf numFmtId="0" fontId="3" fillId="0" borderId="0" xfId="0" applyFont="1"/>
    <xf numFmtId="0" fontId="7" fillId="0" borderId="0" xfId="0" quotePrefix="1" applyFont="1" applyAlignment="1">
      <alignment wrapText="1"/>
    </xf>
    <xf numFmtId="0" fontId="12" fillId="7" borderId="0" xfId="0" applyFont="1" applyFill="1"/>
    <xf numFmtId="0" fontId="1" fillId="0" borderId="0" xfId="0" applyFont="1"/>
    <xf numFmtId="0" fontId="15" fillId="7" borderId="0" xfId="0" applyFont="1" applyFill="1"/>
    <xf numFmtId="0" fontId="11" fillId="0" borderId="0" xfId="0" applyFont="1" applyAlignment="1">
      <alignment wrapText="1"/>
    </xf>
    <xf numFmtId="0" fontId="14" fillId="7" borderId="0" xfId="0" applyFont="1" applyFill="1" applyAlignment="1">
      <alignment horizontal="center" vertical="center"/>
    </xf>
    <xf numFmtId="0" fontId="0" fillId="12" borderId="0" xfId="0" applyFill="1" applyAlignment="1">
      <alignment wrapText="1"/>
    </xf>
  </cellXfs>
  <cellStyles count="1">
    <cellStyle name="Normal" xfId="0" builtinId="0"/>
  </cellStyles>
  <dxfs count="0"/>
  <tableStyles count="0" defaultTableStyle="TableStyleMedium2" defaultPivotStyle="PivotStyleLight16"/>
  <colors>
    <mruColors>
      <color rgb="FFCC6600"/>
      <color rgb="FF993300"/>
      <color rgb="FF8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5.xml"/><Relationship Id="rId5" Type="http://schemas.openxmlformats.org/officeDocument/2006/relationships/chartsheet" Target="chartsheets/sheet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sz="1400" b="1" i="0" u="none" strike="noStrike" cap="none" baseline="0"/>
              <a:t>Failure Probability by Stage</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barChart>
        <c:barDir val="col"/>
        <c:grouping val="clustered"/>
        <c:varyColors val="0"/>
        <c:ser>
          <c:idx val="0"/>
          <c:order val="0"/>
          <c:tx>
            <c:strRef>
              <c:f>Assumptions!$C$3</c:f>
              <c:strCache>
                <c:ptCount val="1"/>
                <c:pt idx="0">
                  <c:v>Failure Probaility</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Assumptions!$A$4:$A$11</c:f>
              <c:strCache>
                <c:ptCount val="8"/>
                <c:pt idx="1">
                  <c:v>Trade Capture / Execution</c:v>
                </c:pt>
                <c:pt idx="2">
                  <c:v>Trade Validation</c:v>
                </c:pt>
                <c:pt idx="3">
                  <c:v>Trade Confirmation</c:v>
                </c:pt>
                <c:pt idx="4">
                  <c:v>Clearing (CCP Novation)</c:v>
                </c:pt>
                <c:pt idx="5">
                  <c:v>Settlement Instruction (SSI) Matching</c:v>
                </c:pt>
                <c:pt idx="6">
                  <c:v>Settlement (Delivery vs Payment)</c:v>
                </c:pt>
                <c:pt idx="7">
                  <c:v>Post-Settlement Reconciliation</c:v>
                </c:pt>
              </c:strCache>
            </c:strRef>
          </c:cat>
          <c:val>
            <c:numRef>
              <c:f>Assumptions!$C$4:$C$11</c:f>
              <c:numCache>
                <c:formatCode>0.00%</c:formatCode>
                <c:ptCount val="8"/>
                <c:pt idx="1">
                  <c:v>4.0000000000000002E-4</c:v>
                </c:pt>
                <c:pt idx="2">
                  <c:v>4.0000000000000002E-4</c:v>
                </c:pt>
                <c:pt idx="3">
                  <c:v>1.6199999999999999E-2</c:v>
                </c:pt>
                <c:pt idx="4">
                  <c:v>4.0000000000000002E-4</c:v>
                </c:pt>
                <c:pt idx="5">
                  <c:v>4.0000000000000002E-4</c:v>
                </c:pt>
                <c:pt idx="6">
                  <c:v>4.2000000000000003E-2</c:v>
                </c:pt>
                <c:pt idx="7">
                  <c:v>4.0000000000000002E-4</c:v>
                </c:pt>
              </c:numCache>
            </c:numRef>
          </c:val>
          <c:extLst>
            <c:ext xmlns:c16="http://schemas.microsoft.com/office/drawing/2014/chart" uri="{C3380CC4-5D6E-409C-BE32-E72D297353CC}">
              <c16:uniqueId val="{00000000-FF33-4F8C-8C22-71D80244EC12}"/>
            </c:ext>
          </c:extLst>
        </c:ser>
        <c:dLbls>
          <c:showLegendKey val="0"/>
          <c:showVal val="0"/>
          <c:showCatName val="0"/>
          <c:showSerName val="0"/>
          <c:showPercent val="0"/>
          <c:showBubbleSize val="0"/>
        </c:dLbls>
        <c:gapWidth val="315"/>
        <c:overlap val="-40"/>
        <c:axId val="879080576"/>
        <c:axId val="288775744"/>
      </c:barChart>
      <c:catAx>
        <c:axId val="879080576"/>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88775744"/>
        <c:crosses val="autoZero"/>
        <c:auto val="1"/>
        <c:lblAlgn val="ctr"/>
        <c:lblOffset val="100"/>
        <c:noMultiLvlLbl val="0"/>
      </c:catAx>
      <c:valAx>
        <c:axId val="288775744"/>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790805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sz="1400" b="1" i="0" u="none" strike="noStrike" cap="none" baseline="0"/>
              <a:t>Failure Probability by Stage</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barChart>
        <c:barDir val="col"/>
        <c:grouping val="clustered"/>
        <c:varyColors val="0"/>
        <c:ser>
          <c:idx val="0"/>
          <c:order val="0"/>
          <c:tx>
            <c:strRef>
              <c:f>Assumptions!$C$3</c:f>
              <c:strCache>
                <c:ptCount val="1"/>
                <c:pt idx="0">
                  <c:v>Failure Probaility</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Assumptions!$A$4:$A$11</c:f>
              <c:strCache>
                <c:ptCount val="8"/>
                <c:pt idx="1">
                  <c:v>Trade Capture / Execution</c:v>
                </c:pt>
                <c:pt idx="2">
                  <c:v>Trade Validation</c:v>
                </c:pt>
                <c:pt idx="3">
                  <c:v>Trade Confirmation</c:v>
                </c:pt>
                <c:pt idx="4">
                  <c:v>Clearing (CCP Novation)</c:v>
                </c:pt>
                <c:pt idx="5">
                  <c:v>Settlement Instruction (SSI) Matching</c:v>
                </c:pt>
                <c:pt idx="6">
                  <c:v>Settlement (Delivery vs Payment)</c:v>
                </c:pt>
                <c:pt idx="7">
                  <c:v>Post-Settlement Reconciliation</c:v>
                </c:pt>
              </c:strCache>
            </c:strRef>
          </c:cat>
          <c:val>
            <c:numRef>
              <c:f>Assumptions!$C$4:$C$11</c:f>
              <c:numCache>
                <c:formatCode>0.00%</c:formatCode>
                <c:ptCount val="8"/>
                <c:pt idx="1">
                  <c:v>4.0000000000000002E-4</c:v>
                </c:pt>
                <c:pt idx="2">
                  <c:v>4.0000000000000002E-4</c:v>
                </c:pt>
                <c:pt idx="3">
                  <c:v>1.6199999999999999E-2</c:v>
                </c:pt>
                <c:pt idx="4">
                  <c:v>4.0000000000000002E-4</c:v>
                </c:pt>
                <c:pt idx="5">
                  <c:v>4.0000000000000002E-4</c:v>
                </c:pt>
                <c:pt idx="6">
                  <c:v>4.2000000000000003E-2</c:v>
                </c:pt>
                <c:pt idx="7">
                  <c:v>4.0000000000000002E-4</c:v>
                </c:pt>
              </c:numCache>
            </c:numRef>
          </c:val>
          <c:extLst>
            <c:ext xmlns:c16="http://schemas.microsoft.com/office/drawing/2014/chart" uri="{C3380CC4-5D6E-409C-BE32-E72D297353CC}">
              <c16:uniqueId val="{00000000-E252-4A34-8C7A-2BC75DEB8E3A}"/>
            </c:ext>
          </c:extLst>
        </c:ser>
        <c:dLbls>
          <c:showLegendKey val="0"/>
          <c:showVal val="0"/>
          <c:showCatName val="0"/>
          <c:showSerName val="0"/>
          <c:showPercent val="0"/>
          <c:showBubbleSize val="0"/>
        </c:dLbls>
        <c:gapWidth val="315"/>
        <c:overlap val="-40"/>
        <c:axId val="879080576"/>
        <c:axId val="288775744"/>
      </c:barChart>
      <c:catAx>
        <c:axId val="879080576"/>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88775744"/>
        <c:crosses val="autoZero"/>
        <c:auto val="1"/>
        <c:lblAlgn val="ctr"/>
        <c:lblOffset val="100"/>
        <c:noMultiLvlLbl val="0"/>
      </c:catAx>
      <c:valAx>
        <c:axId val="288775744"/>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790805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219C31B0-6CC9-4A2D-86DC-23E215A4746C}">
  <sheetPr/>
  <sheetViews>
    <sheetView zoomScale="72" workbookViewId="0" zoomToFit="1"/>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absoluteAnchor>
    <xdr:pos x="0" y="0"/>
    <xdr:ext cx="8660694" cy="6279444"/>
    <xdr:graphicFrame macro="">
      <xdr:nvGraphicFramePr>
        <xdr:cNvPr id="2" name="Chart 1">
          <a:extLst>
            <a:ext uri="{FF2B5EF4-FFF2-40B4-BE49-F238E27FC236}">
              <a16:creationId xmlns:a16="http://schemas.microsoft.com/office/drawing/2014/main" id="{CB6FD39D-FE44-0DD4-3772-01C5992E45A2}"/>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xdr:wsDr xmlns:xdr="http://schemas.openxmlformats.org/drawingml/2006/spreadsheetDrawing" xmlns:a="http://schemas.openxmlformats.org/drawingml/2006/main">
  <xdr:absoluteAnchor>
    <xdr:pos x="0" y="2609850"/>
    <xdr:ext cx="5568950" cy="2781300"/>
    <xdr:graphicFrame macro="">
      <xdr:nvGraphicFramePr>
        <xdr:cNvPr id="3" name="Chart 2">
          <a:extLst>
            <a:ext uri="{FF2B5EF4-FFF2-40B4-BE49-F238E27FC236}">
              <a16:creationId xmlns:a16="http://schemas.microsoft.com/office/drawing/2014/main" id="{2172C70F-694A-4F34-9E09-C916AA737648}"/>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A6F0B-8309-4569-AC05-44C94F111649}">
  <dimension ref="A1:D19"/>
  <sheetViews>
    <sheetView topLeftCell="B1" workbookViewId="0">
      <selection activeCell="C3" activeCellId="1" sqref="A3:A11 C3:C11"/>
    </sheetView>
  </sheetViews>
  <sheetFormatPr defaultRowHeight="15.5" x14ac:dyDescent="0.35"/>
  <cols>
    <col min="1" max="1" width="57.36328125" style="1" customWidth="1"/>
    <col min="2" max="2" width="87.08984375" style="2" customWidth="1"/>
    <col min="3" max="3" width="20.453125" style="1" customWidth="1"/>
    <col min="4" max="4" width="130.90625" style="1" bestFit="1" customWidth="1"/>
    <col min="5" max="16384" width="8.7265625" style="1"/>
  </cols>
  <sheetData>
    <row r="1" spans="1:4" ht="20" x14ac:dyDescent="0.4">
      <c r="A1" s="39" t="s">
        <v>45</v>
      </c>
      <c r="B1" s="39"/>
    </row>
    <row r="3" spans="1:4" x14ac:dyDescent="0.35">
      <c r="A3" s="3" t="s">
        <v>0</v>
      </c>
      <c r="B3" s="3" t="s">
        <v>1</v>
      </c>
      <c r="C3" s="3" t="s">
        <v>3</v>
      </c>
      <c r="D3" s="3" t="s">
        <v>4</v>
      </c>
    </row>
    <row r="5" spans="1:4" ht="20" customHeight="1" x14ac:dyDescent="0.3">
      <c r="A5" s="1" t="s">
        <v>5</v>
      </c>
      <c r="B5" s="1" t="s">
        <v>12</v>
      </c>
      <c r="C5" s="5">
        <v>4.0000000000000002E-4</v>
      </c>
      <c r="D5" s="6" t="s">
        <v>20</v>
      </c>
    </row>
    <row r="6" spans="1:4" ht="20" customHeight="1" x14ac:dyDescent="0.3">
      <c r="A6" s="1" t="s">
        <v>7</v>
      </c>
      <c r="B6" s="1" t="s">
        <v>13</v>
      </c>
      <c r="C6" s="5">
        <v>4.0000000000000002E-4</v>
      </c>
      <c r="D6" s="7" t="s">
        <v>20</v>
      </c>
    </row>
    <row r="7" spans="1:4" ht="20" customHeight="1" x14ac:dyDescent="0.3">
      <c r="A7" s="1" t="s">
        <v>6</v>
      </c>
      <c r="B7" s="1" t="s">
        <v>14</v>
      </c>
      <c r="C7" s="5">
        <v>1.6199999999999999E-2</v>
      </c>
      <c r="D7" s="6" t="s">
        <v>19</v>
      </c>
    </row>
    <row r="8" spans="1:4" ht="20" customHeight="1" x14ac:dyDescent="0.3">
      <c r="A8" s="1" t="s">
        <v>8</v>
      </c>
      <c r="B8" s="1" t="s">
        <v>15</v>
      </c>
      <c r="C8" s="5">
        <v>4.0000000000000002E-4</v>
      </c>
      <c r="D8" s="7" t="s">
        <v>20</v>
      </c>
    </row>
    <row r="9" spans="1:4" ht="20" customHeight="1" x14ac:dyDescent="0.3">
      <c r="A9" s="1" t="s">
        <v>9</v>
      </c>
      <c r="B9" s="1" t="s">
        <v>16</v>
      </c>
      <c r="C9" s="5">
        <v>4.0000000000000002E-4</v>
      </c>
      <c r="D9" s="7" t="s">
        <v>20</v>
      </c>
    </row>
    <row r="10" spans="1:4" ht="20" customHeight="1" x14ac:dyDescent="0.3">
      <c r="A10" s="1" t="s">
        <v>10</v>
      </c>
      <c r="B10" s="1" t="s">
        <v>17</v>
      </c>
      <c r="C10" s="5">
        <v>4.2000000000000003E-2</v>
      </c>
      <c r="D10" s="6" t="s">
        <v>21</v>
      </c>
    </row>
    <row r="11" spans="1:4" ht="20" customHeight="1" x14ac:dyDescent="0.3">
      <c r="A11" s="1" t="s">
        <v>11</v>
      </c>
      <c r="B11" s="1" t="s">
        <v>18</v>
      </c>
      <c r="C11" s="5">
        <v>4.0000000000000002E-4</v>
      </c>
      <c r="D11" s="6" t="s">
        <v>20</v>
      </c>
    </row>
    <row r="13" spans="1:4" s="4" customFormat="1" x14ac:dyDescent="0.35">
      <c r="A13" s="40" t="s">
        <v>22</v>
      </c>
      <c r="B13" s="40"/>
      <c r="C13" s="9">
        <f>(1-C5)*(1-C6)*(1-C7)*(1-CC58)*(1-C9)*(1-C10)*(1-C11)</f>
        <v>0.94097333589993337</v>
      </c>
    </row>
    <row r="14" spans="1:4" ht="15.5" customHeight="1" x14ac:dyDescent="0.35">
      <c r="A14" s="41" t="s">
        <v>23</v>
      </c>
      <c r="B14" s="41"/>
      <c r="C14" s="9">
        <f>(1-C13)</f>
        <v>5.9026664100066628E-2</v>
      </c>
    </row>
    <row r="15" spans="1:4" ht="15.5" customHeight="1" x14ac:dyDescent="0.35">
      <c r="A15" s="2"/>
    </row>
    <row r="16" spans="1:4" ht="31" customHeight="1" x14ac:dyDescent="0.3">
      <c r="A16" s="42" t="s">
        <v>24</v>
      </c>
      <c r="B16" s="42"/>
    </row>
    <row r="17" spans="1:2" x14ac:dyDescent="0.35">
      <c r="A17" s="8"/>
      <c r="B17" s="1"/>
    </row>
    <row r="19" spans="1:2" x14ac:dyDescent="0.35">
      <c r="B19" s="8"/>
    </row>
  </sheetData>
  <mergeCells count="4">
    <mergeCell ref="A1:B1"/>
    <mergeCell ref="A13:B13"/>
    <mergeCell ref="A14:B14"/>
    <mergeCell ref="A16:B1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90E4DB-5BD6-462B-ADB9-0B953FAD4D1B}">
  <dimension ref="A1:C21"/>
  <sheetViews>
    <sheetView workbookViewId="0">
      <selection sqref="A1:B1"/>
    </sheetView>
  </sheetViews>
  <sheetFormatPr defaultRowHeight="14.5" x14ac:dyDescent="0.35"/>
  <cols>
    <col min="1" max="1" width="23.1796875" customWidth="1"/>
    <col min="2" max="2" width="33.1796875" bestFit="1" customWidth="1"/>
    <col min="3" max="3" width="15.90625" bestFit="1" customWidth="1"/>
  </cols>
  <sheetData>
    <row r="1" spans="1:3" ht="20.5" x14ac:dyDescent="0.45">
      <c r="A1" s="43" t="s">
        <v>25</v>
      </c>
      <c r="B1" s="43"/>
    </row>
    <row r="4" spans="1:3" x14ac:dyDescent="0.35">
      <c r="A4" s="12" t="s">
        <v>26</v>
      </c>
      <c r="B4" s="12">
        <v>20000</v>
      </c>
    </row>
    <row r="5" spans="1:3" x14ac:dyDescent="0.35">
      <c r="A5" s="13" t="s">
        <v>2</v>
      </c>
      <c r="B5" s="14">
        <f>Assumptions!C14</f>
        <v>5.9026664100066628E-2</v>
      </c>
    </row>
    <row r="6" spans="1:3" x14ac:dyDescent="0.35">
      <c r="A6" t="s">
        <v>27</v>
      </c>
      <c r="B6" s="16">
        <f>B5*B4</f>
        <v>1180.5332820013325</v>
      </c>
    </row>
    <row r="7" spans="1:3" x14ac:dyDescent="0.35">
      <c r="A7" t="s">
        <v>28</v>
      </c>
      <c r="B7" s="16">
        <f>SQRT(B4*B5*(1-B5))</f>
        <v>33.329421544720674</v>
      </c>
    </row>
    <row r="9" spans="1:3" ht="15.5" x14ac:dyDescent="0.35">
      <c r="A9" s="44" t="s">
        <v>32</v>
      </c>
      <c r="B9" s="44"/>
    </row>
    <row r="10" spans="1:3" x14ac:dyDescent="0.35">
      <c r="A10" s="15" t="s">
        <v>30</v>
      </c>
      <c r="B10" s="15" t="s">
        <v>31</v>
      </c>
      <c r="C10" s="15" t="s">
        <v>29</v>
      </c>
    </row>
    <row r="11" spans="1:3" x14ac:dyDescent="0.35">
      <c r="A11" s="17">
        <f>B6-3*B7</f>
        <v>1080.5450173671704</v>
      </c>
      <c r="B11" s="18">
        <f>BINOMDIST(A11,B4,B5, FALSE)</f>
        <v>1.1630448322513402E-4</v>
      </c>
      <c r="C11" s="18">
        <f>BINOMDIST(A11,B4,B5,TRUE)</f>
        <v>1.1904041888902038E-3</v>
      </c>
    </row>
    <row r="12" spans="1:3" x14ac:dyDescent="0.35">
      <c r="A12" s="17">
        <f>B6-2*B7</f>
        <v>1113.874438911891</v>
      </c>
      <c r="B12" s="18">
        <f>BINOMDIST(A12,B4,B5,FALSE)</f>
        <v>1.5209981333502917E-3</v>
      </c>
      <c r="C12" s="18">
        <f>BINOMDIST(A12,B4,B5,TRUE)</f>
        <v>2.1430688442995522E-2</v>
      </c>
    </row>
    <row r="13" spans="1:3" x14ac:dyDescent="0.35">
      <c r="A13" s="17">
        <f>B6-B7</f>
        <v>1147.2038604566119</v>
      </c>
      <c r="B13" s="18">
        <f>BINOMDIST(A13,B4,B5,FALSE)</f>
        <v>7.279988673736428E-3</v>
      </c>
      <c r="C13" s="18">
        <f>BINOMDIST(A13,B4,B5,TRUE)</f>
        <v>0.16082697416522057</v>
      </c>
    </row>
    <row r="14" spans="1:3" x14ac:dyDescent="0.35">
      <c r="A14" s="17">
        <f>B6</f>
        <v>1180.5332820013325</v>
      </c>
      <c r="B14" s="18">
        <f>BINOMDIST(A14,B4,B5,FALSE)</f>
        <v>1.1969826807184969E-2</v>
      </c>
      <c r="C14" s="18">
        <f>BINOMDIST(A14,B4,B5,TRUE)</f>
        <v>0.50136125147577515</v>
      </c>
    </row>
    <row r="15" spans="1:3" x14ac:dyDescent="0.35">
      <c r="A15" s="17">
        <f>B6+B7</f>
        <v>1213.8627035460531</v>
      </c>
      <c r="B15" s="18">
        <f>BINOMDIST(A15,B4,B5,FALSE)</f>
        <v>7.3829680319150498E-3</v>
      </c>
      <c r="C15" s="18">
        <f>BINOMDIST(A15,B4,B5,TRUE)</f>
        <v>0.83872731890283325</v>
      </c>
    </row>
    <row r="16" spans="1:3" x14ac:dyDescent="0.35">
      <c r="A16" s="17">
        <f>B6+2*B7</f>
        <v>1247.192125090774</v>
      </c>
      <c r="B16" s="18">
        <f>BINOMDIST(A16,B4,B5,FALSE)</f>
        <v>1.6523927425758237E-3</v>
      </c>
      <c r="C16" s="18">
        <f>BINOMDIST(A16,B4,B5,TRUE)</f>
        <v>0.97704460497200407</v>
      </c>
    </row>
    <row r="17" spans="1:3" x14ac:dyDescent="0.35">
      <c r="A17" s="17">
        <f>B6+3*B7</f>
        <v>1280.5215466354946</v>
      </c>
      <c r="B17" s="18">
        <f>BINOMDIST(A17,B4,B5,FALSE)</f>
        <v>1.5014365332298042E-4</v>
      </c>
      <c r="C17" s="18">
        <f>BINOMDIST(A17,B4,B5,TRUE)</f>
        <v>0.99848846203731534</v>
      </c>
    </row>
    <row r="18" spans="1:3" x14ac:dyDescent="0.35">
      <c r="A18" s="17">
        <f>B6+4*B7</f>
        <v>1313.8509681802152</v>
      </c>
      <c r="B18" s="18">
        <f>BINOMDIST(A18,B4,B5,FALSE)</f>
        <v>5.498584355486309E-6</v>
      </c>
      <c r="C18" s="18">
        <f>BINOMDIST(A18,B4,B5,TRUE)</f>
        <v>0.99995695007015117</v>
      </c>
    </row>
    <row r="19" spans="1:3" x14ac:dyDescent="0.35">
      <c r="A19" s="17">
        <f>B6+5*B7</f>
        <v>1347.1803897249358</v>
      </c>
      <c r="B19" s="18">
        <f>BINOMDIST(A19,B4,B5,FALSE)</f>
        <v>7.2020815758226583E-8</v>
      </c>
      <c r="C19" s="18">
        <f>BINOMDIST(A19,B4,B5,TRUE)</f>
        <v>0.99999954314929118</v>
      </c>
    </row>
    <row r="20" spans="1:3" x14ac:dyDescent="0.35">
      <c r="A20" s="11"/>
    </row>
    <row r="21" spans="1:3" x14ac:dyDescent="0.35">
      <c r="A21" s="11"/>
    </row>
  </sheetData>
  <mergeCells count="2">
    <mergeCell ref="A1:B1"/>
    <mergeCell ref="A9:B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32510A-BF31-4148-BD63-17917DC94AA2}">
  <dimension ref="A1:F17"/>
  <sheetViews>
    <sheetView workbookViewId="0">
      <selection activeCell="D14" sqref="D14"/>
    </sheetView>
  </sheetViews>
  <sheetFormatPr defaultRowHeight="14.5" x14ac:dyDescent="0.35"/>
  <cols>
    <col min="1" max="1" width="40.81640625" customWidth="1"/>
    <col min="2" max="2" width="16" customWidth="1"/>
  </cols>
  <sheetData>
    <row r="1" spans="1:2" ht="21" x14ac:dyDescent="0.5">
      <c r="A1" s="45" t="s">
        <v>33</v>
      </c>
      <c r="B1" s="45"/>
    </row>
    <row r="3" spans="1:2" x14ac:dyDescent="0.35">
      <c r="A3" s="20" t="s">
        <v>37</v>
      </c>
      <c r="B3" s="22">
        <v>5000000</v>
      </c>
    </row>
    <row r="4" spans="1:2" x14ac:dyDescent="0.35">
      <c r="A4" s="21" t="s">
        <v>34</v>
      </c>
      <c r="B4" s="22">
        <v>1E-3</v>
      </c>
    </row>
    <row r="5" spans="1:2" x14ac:dyDescent="0.35">
      <c r="A5" s="21" t="s">
        <v>38</v>
      </c>
      <c r="B5" s="22">
        <v>4000</v>
      </c>
    </row>
    <row r="6" spans="1:2" x14ac:dyDescent="0.35">
      <c r="A6" s="21" t="s">
        <v>39</v>
      </c>
      <c r="B6" s="22">
        <v>150000</v>
      </c>
    </row>
    <row r="7" spans="1:2" x14ac:dyDescent="0.35">
      <c r="A7" s="21" t="s">
        <v>40</v>
      </c>
      <c r="B7" s="22">
        <v>600</v>
      </c>
    </row>
    <row r="8" spans="1:2" x14ac:dyDescent="0.35">
      <c r="A8" s="21" t="s">
        <v>41</v>
      </c>
      <c r="B8" s="22">
        <v>1400</v>
      </c>
    </row>
    <row r="9" spans="1:2" x14ac:dyDescent="0.35">
      <c r="B9" s="19"/>
    </row>
    <row r="10" spans="1:2" x14ac:dyDescent="0.35">
      <c r="A10" s="23" t="s">
        <v>35</v>
      </c>
      <c r="B10" s="27">
        <f>MAX(B5,MIN(B4*B3,B6))</f>
        <v>5000</v>
      </c>
    </row>
    <row r="11" spans="1:2" ht="15.5" x14ac:dyDescent="0.35">
      <c r="A11" s="24" t="s">
        <v>36</v>
      </c>
      <c r="B11" s="27">
        <f>B10+B7+B8</f>
        <v>7000</v>
      </c>
    </row>
    <row r="12" spans="1:2" x14ac:dyDescent="0.35">
      <c r="B12" s="19"/>
    </row>
    <row r="13" spans="1:2" ht="15.5" x14ac:dyDescent="0.35">
      <c r="A13" s="25" t="s">
        <v>42</v>
      </c>
      <c r="B13" s="28">
        <f>Model!B6</f>
        <v>1180.5332820013325</v>
      </c>
    </row>
    <row r="14" spans="1:2" ht="15.5" x14ac:dyDescent="0.35">
      <c r="A14" s="25" t="s">
        <v>43</v>
      </c>
      <c r="B14" s="28">
        <f>B13*B11</f>
        <v>8263732.9740093276</v>
      </c>
    </row>
    <row r="17" spans="1:6" ht="44.5" customHeight="1" x14ac:dyDescent="0.35">
      <c r="A17" s="46" t="s">
        <v>44</v>
      </c>
      <c r="B17" s="38"/>
      <c r="C17" s="38"/>
      <c r="D17" s="38"/>
      <c r="E17" s="38"/>
      <c r="F17" s="38"/>
    </row>
  </sheetData>
  <mergeCells count="2">
    <mergeCell ref="A1:B1"/>
    <mergeCell ref="A17:F1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1DD17-2107-4CD8-8E5E-96492337A6F5}">
  <dimension ref="A1:I13"/>
  <sheetViews>
    <sheetView tabSelected="1" workbookViewId="0">
      <selection activeCell="H4" sqref="H4"/>
    </sheetView>
  </sheetViews>
  <sheetFormatPr defaultRowHeight="14.5" x14ac:dyDescent="0.35"/>
  <cols>
    <col min="1" max="1" width="32" bestFit="1" customWidth="1"/>
    <col min="2" max="2" width="21" customWidth="1"/>
    <col min="3" max="3" width="15.7265625" customWidth="1"/>
    <col min="4" max="4" width="11.08984375" customWidth="1"/>
    <col min="5" max="5" width="14.54296875" bestFit="1" customWidth="1"/>
    <col min="6" max="6" width="14.90625" bestFit="1" customWidth="1"/>
    <col min="7" max="7" width="17.1796875" customWidth="1"/>
    <col min="8" max="8" width="12.36328125" customWidth="1"/>
    <col min="9" max="9" width="18.453125" bestFit="1" customWidth="1"/>
  </cols>
  <sheetData>
    <row r="1" spans="1:9" ht="21" x14ac:dyDescent="0.5">
      <c r="A1" s="36" t="s">
        <v>46</v>
      </c>
      <c r="B1" s="36"/>
      <c r="C1" s="36"/>
    </row>
    <row r="3" spans="1:9" x14ac:dyDescent="0.35">
      <c r="A3" s="26" t="s">
        <v>47</v>
      </c>
      <c r="B3" s="26" t="s">
        <v>48</v>
      </c>
      <c r="C3" s="26" t="s">
        <v>49</v>
      </c>
      <c r="D3" s="26" t="s">
        <v>50</v>
      </c>
      <c r="E3" s="26" t="s">
        <v>51</v>
      </c>
      <c r="F3" s="26" t="s">
        <v>52</v>
      </c>
      <c r="G3" s="26" t="s">
        <v>53</v>
      </c>
      <c r="H3" s="26" t="s">
        <v>54</v>
      </c>
      <c r="I3" s="26" t="s">
        <v>62</v>
      </c>
    </row>
    <row r="4" spans="1:9" x14ac:dyDescent="0.35">
      <c r="A4" t="str">
        <f>Assumptions!A5</f>
        <v>Trade Capture / Execution</v>
      </c>
      <c r="B4" s="10">
        <f>Assumptions!C5</f>
        <v>4.0000000000000002E-4</v>
      </c>
      <c r="C4" s="10">
        <f>B4*0.5</f>
        <v>2.0000000000000001E-4</v>
      </c>
      <c r="D4" s="10">
        <f>B4*1.5</f>
        <v>6.0000000000000006E-4</v>
      </c>
      <c r="E4" s="10">
        <f>1-((Assumptions!C13)*(1-C4)/(1-B4))</f>
        <v>5.8838394124896665E-2</v>
      </c>
      <c r="F4" s="10">
        <f>1-((Assumptions!C13)*(1-D4)/(1-B4))</f>
        <v>5.9214934075236814E-2</v>
      </c>
      <c r="G4" s="29">
        <f>F4-E4</f>
        <v>3.7653995034014898E-4</v>
      </c>
      <c r="H4" s="30">
        <f>G4*Model!B4*'Cost Impact'!B11</f>
        <v>52715.59304762086</v>
      </c>
      <c r="I4" s="30">
        <f>(Assumptions!C14 - E4)*Model!B4*'Cost Impact'!B11</f>
        <v>26357.796523794885</v>
      </c>
    </row>
    <row r="5" spans="1:9" x14ac:dyDescent="0.35">
      <c r="A5" t="str">
        <f>Assumptions!A6</f>
        <v>Trade Validation</v>
      </c>
      <c r="B5" s="10">
        <f>Assumptions!C6</f>
        <v>4.0000000000000002E-4</v>
      </c>
      <c r="C5" s="10">
        <f t="shared" ref="C5:C10" si="0">B5*0.5</f>
        <v>2.0000000000000001E-4</v>
      </c>
      <c r="D5" s="10">
        <f t="shared" ref="D5:D10" si="1">B5*1.5</f>
        <v>6.0000000000000006E-4</v>
      </c>
      <c r="E5" s="10">
        <f>1-((Assumptions!C13)*(1-C5)/(1-B5))</f>
        <v>5.8838394124896665E-2</v>
      </c>
      <c r="F5" s="10">
        <f>1-((Assumptions!C13)*(1-D5)/(1-B5))</f>
        <v>5.9214934075236814E-2</v>
      </c>
      <c r="G5" s="29">
        <f t="shared" ref="G5:G10" si="2">F5-E5</f>
        <v>3.7653995034014898E-4</v>
      </c>
      <c r="H5" s="30">
        <f>G5*Model!B4*'Cost Impact'!B11</f>
        <v>52715.59304762086</v>
      </c>
      <c r="I5" s="30">
        <f>(Assumptions!C14 - E5)*Model!B4*'Cost Impact'!B11</f>
        <v>26357.796523794885</v>
      </c>
    </row>
    <row r="6" spans="1:9" x14ac:dyDescent="0.35">
      <c r="A6" t="str">
        <f>Assumptions!A7</f>
        <v>Trade Confirmation</v>
      </c>
      <c r="B6" s="10">
        <f>Assumptions!C7</f>
        <v>1.6199999999999999E-2</v>
      </c>
      <c r="C6" s="10">
        <f>B6*0.5</f>
        <v>8.0999999999999996E-3</v>
      </c>
      <c r="D6" s="10">
        <f>B6*1.5</f>
        <v>2.4299999999999999E-2</v>
      </c>
      <c r="E6" s="10">
        <f>1-((Assumptions!C13)*(1-C6)/(1-B6))</f>
        <v>5.1279272332644954E-2</v>
      </c>
      <c r="F6" s="10">
        <f>1-((Assumptions!C13)*(1-D6)/(1-B6))</f>
        <v>6.6774055867488302E-2</v>
      </c>
      <c r="G6" s="29">
        <f>F6-E6</f>
        <v>1.5494783534843348E-2</v>
      </c>
      <c r="H6" s="30">
        <f>G6*Model!B4*'Cost Impact'!B11</f>
        <v>2169269.6948780688</v>
      </c>
      <c r="I6" s="30">
        <f>(Assumptions!C14 - E6)*Model!B4*'Cost Impact'!B11</f>
        <v>1084634.8474390344</v>
      </c>
    </row>
    <row r="7" spans="1:9" x14ac:dyDescent="0.35">
      <c r="A7" t="str">
        <f>Assumptions!A8</f>
        <v>Clearing (CCP Novation)</v>
      </c>
      <c r="B7" s="10">
        <f>Assumptions!C8</f>
        <v>4.0000000000000002E-4</v>
      </c>
      <c r="C7" s="10">
        <f t="shared" si="0"/>
        <v>2.0000000000000001E-4</v>
      </c>
      <c r="D7" s="10">
        <f t="shared" si="1"/>
        <v>6.0000000000000006E-4</v>
      </c>
      <c r="E7" s="10">
        <f>1-((Assumptions!C13)*(1-C7)/(1-B7))</f>
        <v>5.8838394124896665E-2</v>
      </c>
      <c r="F7" s="10">
        <f>1-((Assumptions!C13)*(1-D7)/(1-B7))</f>
        <v>5.9214934075236814E-2</v>
      </c>
      <c r="G7" s="29">
        <f>F7-E7</f>
        <v>3.7653995034014898E-4</v>
      </c>
      <c r="H7" s="30">
        <f>G7*Model!B4*'Cost Impact'!B11</f>
        <v>52715.59304762086</v>
      </c>
      <c r="I7" s="30">
        <f>(Assumptions!C14 - E7)*Model!B4*'Cost Impact'!B11</f>
        <v>26357.796523794885</v>
      </c>
    </row>
    <row r="8" spans="1:9" x14ac:dyDescent="0.35">
      <c r="A8" t="str">
        <f>Assumptions!A9</f>
        <v>Settlement Instruction (SSI) Matching</v>
      </c>
      <c r="B8" s="10">
        <f>Assumptions!C9</f>
        <v>4.0000000000000002E-4</v>
      </c>
      <c r="C8" s="10">
        <f t="shared" si="0"/>
        <v>2.0000000000000001E-4</v>
      </c>
      <c r="D8" s="10">
        <f t="shared" si="1"/>
        <v>6.0000000000000006E-4</v>
      </c>
      <c r="E8" s="10">
        <f>1-((Assumptions!C13)*(1-C8)/(1-B8))</f>
        <v>5.8838394124896665E-2</v>
      </c>
      <c r="F8" s="10">
        <f>1-((Assumptions!C13)*(1-D8)/(1-B8))</f>
        <v>5.9214934075236814E-2</v>
      </c>
      <c r="G8" s="29">
        <f>F8-E8</f>
        <v>3.7653995034014898E-4</v>
      </c>
      <c r="H8" s="30">
        <f>G8*Model!B4*'Cost Impact'!B11</f>
        <v>52715.59304762086</v>
      </c>
      <c r="I8" s="30">
        <f>(Assumptions!C14 - E8)*Model!B4*'Cost Impact'!B11</f>
        <v>26357.796523794885</v>
      </c>
    </row>
    <row r="9" spans="1:9" x14ac:dyDescent="0.35">
      <c r="A9" t="str">
        <f>Assumptions!A10</f>
        <v>Settlement (Delivery vs Payment)</v>
      </c>
      <c r="B9" s="10">
        <f>Assumptions!C10</f>
        <v>4.2000000000000003E-2</v>
      </c>
      <c r="C9" s="10">
        <f t="shared" si="0"/>
        <v>2.1000000000000001E-2</v>
      </c>
      <c r="D9" s="10">
        <f t="shared" si="1"/>
        <v>6.3E-2</v>
      </c>
      <c r="E9" s="10">
        <f>1-((Assumptions!C13)*(1-C9)/(1-B9))</f>
        <v>3.8399899951947036E-2</v>
      </c>
      <c r="F9" s="10">
        <f>1-((Assumptions!C13)*(1-D9)/(1-B9))</f>
        <v>7.9653428248186109E-2</v>
      </c>
      <c r="G9" s="29">
        <f>F9-E9</f>
        <v>4.1253528296239073E-2</v>
      </c>
      <c r="H9" s="30">
        <f>G9*Model!B4*'Cost Impact'!B11</f>
        <v>5775493.9614734706</v>
      </c>
      <c r="I9" s="30">
        <f>(Assumptions!C14 - E9)*Model!B4*'Cost Impact'!B11</f>
        <v>2887746.9807367427</v>
      </c>
    </row>
    <row r="10" spans="1:9" x14ac:dyDescent="0.35">
      <c r="A10" t="str">
        <f>Assumptions!A11</f>
        <v>Post-Settlement Reconciliation</v>
      </c>
      <c r="B10" s="10">
        <f>Assumptions!C11</f>
        <v>4.0000000000000002E-4</v>
      </c>
      <c r="C10" s="10">
        <f t="shared" si="0"/>
        <v>2.0000000000000001E-4</v>
      </c>
      <c r="D10" s="10">
        <f t="shared" si="1"/>
        <v>6.0000000000000006E-4</v>
      </c>
      <c r="E10" s="10">
        <f>1-((Assumptions!C13)*(1-C10)/(1-B10))</f>
        <v>5.8838394124896665E-2</v>
      </c>
      <c r="F10" s="10">
        <f>1-((Assumptions!C13)*(1-D10)/(1-B10))</f>
        <v>5.9214934075236814E-2</v>
      </c>
      <c r="G10" s="29">
        <f t="shared" si="2"/>
        <v>3.7653995034014898E-4</v>
      </c>
      <c r="H10" s="30">
        <f>G10*Model!B4*'Cost Impact'!B11</f>
        <v>52715.59304762086</v>
      </c>
      <c r="I10" s="30">
        <f>(Assumptions!C14 - E10)*Model!B4*'Cost Impact'!B11</f>
        <v>26357.796523794885</v>
      </c>
    </row>
    <row r="13" spans="1:9" ht="29" customHeight="1" x14ac:dyDescent="0.35">
      <c r="A13" s="37" t="s">
        <v>55</v>
      </c>
      <c r="B13" s="38"/>
      <c r="C13" s="38"/>
      <c r="D13" s="38"/>
      <c r="E13" s="38"/>
    </row>
  </sheetData>
  <mergeCells count="2">
    <mergeCell ref="A1:C1"/>
    <mergeCell ref="A13:E1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ECE050-2DA1-4EB6-8756-5F7BDAB42B92}">
  <dimension ref="A1:D10"/>
  <sheetViews>
    <sheetView workbookViewId="0">
      <selection activeCell="A14" sqref="A14"/>
    </sheetView>
  </sheetViews>
  <sheetFormatPr defaultRowHeight="14.5" x14ac:dyDescent="0.35"/>
  <cols>
    <col min="1" max="1" width="22" bestFit="1" customWidth="1"/>
    <col min="2" max="2" width="28.54296875" bestFit="1" customWidth="1"/>
  </cols>
  <sheetData>
    <row r="1" spans="1:4" ht="20" x14ac:dyDescent="0.35">
      <c r="A1" s="47" t="s">
        <v>56</v>
      </c>
      <c r="B1" s="47"/>
      <c r="C1" s="47"/>
      <c r="D1" s="47"/>
    </row>
    <row r="3" spans="1:4" x14ac:dyDescent="0.35">
      <c r="A3" t="s">
        <v>57</v>
      </c>
      <c r="B3" s="31">
        <f>Assumptions!C14</f>
        <v>5.9026664100066628E-2</v>
      </c>
    </row>
    <row r="4" spans="1:4" x14ac:dyDescent="0.35">
      <c r="A4" t="s">
        <v>58</v>
      </c>
      <c r="B4" s="32">
        <f>Model!B4</f>
        <v>20000</v>
      </c>
    </row>
    <row r="5" spans="1:4" x14ac:dyDescent="0.35">
      <c r="A5" t="s">
        <v>59</v>
      </c>
      <c r="B5" s="33">
        <f>Model!B6</f>
        <v>1180.5332820013325</v>
      </c>
    </row>
    <row r="6" spans="1:4" x14ac:dyDescent="0.35">
      <c r="A6" t="s">
        <v>60</v>
      </c>
      <c r="B6" s="34">
        <f>'Cost Impact'!B14</f>
        <v>8263732.9740093276</v>
      </c>
    </row>
    <row r="7" spans="1:4" x14ac:dyDescent="0.35">
      <c r="A7" t="s">
        <v>61</v>
      </c>
      <c r="B7" s="35" t="str">
        <f>INDEX(Sensitivity!A4:A10, MATCH(MAX(Sensitivity!H4:H10),Sensitivity!H4:H10,0))</f>
        <v>Settlement (Delivery vs Payment)</v>
      </c>
    </row>
    <row r="8" spans="1:4" x14ac:dyDescent="0.35">
      <c r="A8" t="s">
        <v>62</v>
      </c>
      <c r="B8" s="34">
        <f>INDEX(Sensitivity!I4:I10, MATCH(MAX(Sensitivity!H4:H10),Sensitivity!H4:H10,0))</f>
        <v>2887746.9807367427</v>
      </c>
    </row>
    <row r="9" spans="1:4" ht="13" customHeight="1" x14ac:dyDescent="0.35"/>
    <row r="10" spans="1:4" ht="27.5" customHeight="1" x14ac:dyDescent="0.35">
      <c r="A10" s="48" t="str">
        <f>"Recommendation: Focus on " &amp; B7 &amp; " halving its failure rate would save approximately ₹" &amp; TEXT(B8,"#,##0") &amp; " per batch."</f>
        <v>Recommendation: Focus on Settlement (Delivery vs Payment) halving its failure rate would save approximately ₹2,887,747 per batch.</v>
      </c>
      <c r="B10" s="48"/>
      <c r="C10" s="48"/>
      <c r="D10" s="48"/>
    </row>
  </sheetData>
  <mergeCells count="2">
    <mergeCell ref="A1:D1"/>
    <mergeCell ref="A10:D10"/>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Charts</vt:lpstr>
      </vt:variant>
      <vt:variant>
        <vt:i4>1</vt:i4>
      </vt:variant>
    </vt:vector>
  </HeadingPairs>
  <TitlesOfParts>
    <vt:vector size="6" baseType="lpstr">
      <vt:lpstr>Assumptions</vt:lpstr>
      <vt:lpstr>Model</vt:lpstr>
      <vt:lpstr>Cost Impact</vt:lpstr>
      <vt:lpstr>Sensitivity</vt:lpstr>
      <vt:lpstr>Dashboard</vt:lpstr>
      <vt:lpstr>Failure Chart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Parth Pugalia</dc:creator>
  <cp:lastModifiedBy>Parth Pugalia</cp:lastModifiedBy>
  <dcterms:created xsi:type="dcterms:W3CDTF">2026-08-10T19:43:27Z</dcterms:created>
  <dcterms:modified xsi:type="dcterms:W3CDTF">2026-08-15T15:02:08Z</dcterms:modified>
</cp:coreProperties>
</file>